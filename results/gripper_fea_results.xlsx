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SYS\Study\Gripper_FEA_Project\"/>
    </mc:Choice>
  </mc:AlternateContent>
  <xr:revisionPtr revIDLastSave="0" documentId="13_ncr:1_{EE120567-EC87-4624-A220-58DEAB3B4E82}" xr6:coauthVersionLast="47" xr6:coauthVersionMax="47" xr10:uidLastSave="{00000000-0000-0000-0000-000000000000}"/>
  <bookViews>
    <workbookView xWindow="-110" yWindow="-110" windowWidth="25820" windowHeight="15500" firstSheet="1" activeTab="7" xr2:uid="{00000000-000D-0000-FFFF-FFFF00000000}"/>
  </bookViews>
  <sheets>
    <sheet name="Overview" sheetId="1" r:id="rId1"/>
    <sheet name="Load Study" sheetId="2" r:id="rId2"/>
    <sheet name="Mesh Convergence" sheetId="3" r:id="rId3"/>
    <sheet name="Baseline" sheetId="4" r:id="rId4"/>
    <sheet name="Case A1" sheetId="5" r:id="rId5"/>
    <sheet name="Case A2" sheetId="6" r:id="rId6"/>
    <sheet name="Final Validation" sheetId="7" r:id="rId7"/>
    <sheet name="Comparison" sheetId="8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8" l="1"/>
  <c r="E9" i="8"/>
  <c r="D9" i="8"/>
  <c r="E8" i="8"/>
  <c r="D8" i="8"/>
  <c r="E7" i="8"/>
  <c r="D7" i="8"/>
  <c r="E6" i="8"/>
  <c r="D6" i="8"/>
  <c r="E5" i="8"/>
  <c r="D5" i="8"/>
  <c r="E4" i="8"/>
  <c r="D4" i="8"/>
  <c r="C11" i="7"/>
  <c r="D11" i="7" s="1"/>
  <c r="C10" i="7"/>
  <c r="B10" i="7"/>
  <c r="C9" i="7"/>
  <c r="B9" i="7"/>
  <c r="C8" i="7"/>
  <c r="B8" i="7"/>
  <c r="C7" i="7"/>
  <c r="B7" i="7"/>
  <c r="D7" i="7" s="1"/>
  <c r="C6" i="7"/>
  <c r="B6" i="7"/>
  <c r="C5" i="7"/>
  <c r="B5" i="7"/>
  <c r="D5" i="7" s="1"/>
  <c r="D23" i="5"/>
  <c r="D22" i="5"/>
  <c r="D20" i="5"/>
  <c r="D19" i="5"/>
  <c r="D18" i="5"/>
  <c r="M7" i="3"/>
  <c r="K7" i="3"/>
  <c r="I7" i="3"/>
  <c r="M6" i="3"/>
  <c r="K6" i="3"/>
  <c r="I6" i="3"/>
  <c r="M5" i="3"/>
  <c r="K5" i="3"/>
  <c r="I5" i="3"/>
  <c r="B25" i="6"/>
  <c r="D25" i="6" s="1"/>
  <c r="B24" i="6"/>
  <c r="D24" i="6" s="1"/>
  <c r="B23" i="6"/>
  <c r="D23" i="6" s="1"/>
  <c r="B22" i="6"/>
  <c r="D22" i="6" s="1"/>
  <c r="B21" i="6"/>
  <c r="D21" i="6" s="1"/>
  <c r="B20" i="6"/>
  <c r="D20" i="6" s="1"/>
  <c r="B15" i="6"/>
  <c r="D15" i="6" s="1"/>
  <c r="D14" i="6"/>
  <c r="D9" i="7" l="1"/>
  <c r="D6" i="7"/>
  <c r="D10" i="7"/>
  <c r="D8" i="7"/>
</calcChain>
</file>

<file path=xl/sharedStrings.xml><?xml version="1.0" encoding="utf-8"?>
<sst xmlns="http://schemas.openxmlformats.org/spreadsheetml/2006/main" count="342" uniqueCount="148">
  <si>
    <t>Case A2 – Topology-Informed Jaw Plate Redesign</t>
  </si>
  <si>
    <t>Topology Optimization Setup</t>
  </si>
  <si>
    <t>Parameter</t>
  </si>
  <si>
    <t>Value</t>
  </si>
  <si>
    <t>Unit</t>
  </si>
  <si>
    <t>Parent design</t>
  </si>
  <si>
    <t>Case A1</t>
  </si>
  <si>
    <t>—</t>
  </si>
  <si>
    <t>Design region</t>
  </si>
  <si>
    <t>Jaw Plate</t>
  </si>
  <si>
    <t>Objective</t>
  </si>
  <si>
    <t>Minimize compliance</t>
  </si>
  <si>
    <t>Mass constraint</t>
  </si>
  <si>
    <t>% retained</t>
  </si>
  <si>
    <t>Optimization method</t>
  </si>
  <si>
    <t>Mixable Density</t>
  </si>
  <si>
    <t>Final CAD method</t>
  </si>
  <si>
    <t>Topology-informed redesign</t>
  </si>
  <si>
    <t>Jaw Plate Redesign</t>
  </si>
  <si>
    <t>Metric</t>
  </si>
  <si>
    <t>Final A2</t>
  </si>
  <si>
    <t>Change</t>
  </si>
  <si>
    <t>Jaw Plate Mass / part</t>
  </si>
  <si>
    <t>g</t>
  </si>
  <si>
    <t>Jaw Plate Max Eq. Stress</t>
  </si>
  <si>
    <t>MPa</t>
  </si>
  <si>
    <t>Full Assembly Validation</t>
  </si>
  <si>
    <t>Actuator Reaction Force</t>
  </si>
  <si>
    <t>N</t>
  </si>
  <si>
    <t>Max Contact Pressure</t>
  </si>
  <si>
    <t>Total Contact Area</t>
  </si>
  <si>
    <t>mm²</t>
  </si>
  <si>
    <t>Global Max Eq. Stress</t>
  </si>
  <si>
    <t>Global Max Principal Stress</t>
  </si>
  <si>
    <t>Pneumatic Gripper FEA Design Study</t>
  </si>
  <si>
    <t>Study Structure</t>
  </si>
  <si>
    <t>Stage</t>
  </si>
  <si>
    <t>Parent</t>
  </si>
  <si>
    <t>Design Change</t>
  </si>
  <si>
    <t>Evaluation</t>
  </si>
  <si>
    <t>Baseline</t>
  </si>
  <si>
    <t>Reference model</t>
  </si>
  <si>
    <t>Production nonlinear FEA</t>
  </si>
  <si>
    <t>Jaw Contact Block face correction (+3°)</t>
  </si>
  <si>
    <t>Contact / load-transfer validation</t>
  </si>
  <si>
    <t>Case A2</t>
  </si>
  <si>
    <t>Topology-informed Jaw Plate lightweighting</t>
  </si>
  <si>
    <t>Topology study + CAD redesign</t>
  </si>
  <si>
    <t>Final Validation</t>
  </si>
  <si>
    <t>Full gripper with redesigned Jaw Plate</t>
  </si>
  <si>
    <t>Nonlinear full-assembly validation</t>
  </si>
  <si>
    <t>Common FEA Setup</t>
  </si>
  <si>
    <t>Actuator displacement</t>
  </si>
  <si>
    <t>mm</t>
  </si>
  <si>
    <t>PLA Young's modulus</t>
  </si>
  <si>
    <t>Poisson's ratio</t>
  </si>
  <si>
    <t>Cube</t>
  </si>
  <si>
    <t>Rigid</t>
  </si>
  <si>
    <t>Block–Cube contact</t>
  </si>
  <si>
    <t>Frictionless</t>
  </si>
  <si>
    <t>Large Deflection</t>
  </si>
  <si>
    <t>On</t>
  </si>
  <si>
    <t>Baseline production mesh</t>
  </si>
  <si>
    <t>M2</t>
  </si>
  <si>
    <t>Gripping Load Study</t>
  </si>
  <si>
    <t>Evaluation range</t>
  </si>
  <si>
    <t>-20 to -28.8 mm</t>
  </si>
  <si>
    <t>Run ID</t>
  </si>
  <si>
    <t>Rod Retraction (mm)</t>
  </si>
  <si>
    <t>LF Contact</t>
  </si>
  <si>
    <t>LR Contact</t>
  </si>
  <si>
    <t>RF Contact</t>
  </si>
  <si>
    <t>RR Contact</t>
  </si>
  <si>
    <t>Reaction Force (N)</t>
  </si>
  <si>
    <t>Max Eq. Stress (MPa)</t>
  </si>
  <si>
    <t>Max Principal Stress (MPa)</t>
  </si>
  <si>
    <t>Max Deformation (mm)</t>
  </si>
  <si>
    <t>Max Contact Pressure (MPa)</t>
  </si>
  <si>
    <t>Max Penetration (mm)</t>
  </si>
  <si>
    <t>Critical Stress Location</t>
  </si>
  <si>
    <t>GLS-01</t>
  </si>
  <si>
    <t>Sliding</t>
  </si>
  <si>
    <t>Near Open</t>
  </si>
  <si>
    <t>none</t>
  </si>
  <si>
    <t>GLS-02</t>
  </si>
  <si>
    <t>GLS-03</t>
  </si>
  <si>
    <t>GLS-04</t>
  </si>
  <si>
    <t>GLS-05</t>
  </si>
  <si>
    <t>GLS-06</t>
  </si>
  <si>
    <t>Actuation Link – outer edges of the upper fork branches</t>
  </si>
  <si>
    <t>GLS-07</t>
  </si>
  <si>
    <t>GLS-08</t>
  </si>
  <si>
    <t>GLS-09</t>
  </si>
  <si>
    <t>GLS-10</t>
  </si>
  <si>
    <t>GLS-11</t>
  </si>
  <si>
    <t>GLS-12</t>
  </si>
  <si>
    <t>GLS-13</t>
  </si>
  <si>
    <t>GLS-14</t>
  </si>
  <si>
    <t>GLS-15</t>
  </si>
  <si>
    <t>GLS-16</t>
  </si>
  <si>
    <t>Baseline Mesh Convergence – -28.8 mm</t>
  </si>
  <si>
    <t>Mesh ID</t>
  </si>
  <si>
    <t>Overall Size (mm)</t>
  </si>
  <si>
    <t>Slots/Joints (mm)</t>
  </si>
  <si>
    <t>Y-root (mm)</t>
  </si>
  <si>
    <t>Critical Region (mm)</t>
  </si>
  <si>
    <t>Nodes</t>
  </si>
  <si>
    <t>Elements</t>
  </si>
  <si>
    <t>Δ Force</t>
  </si>
  <si>
    <t>Δ Eq. Stress</t>
  </si>
  <si>
    <t>Δ Principal</t>
  </si>
  <si>
    <t>Use</t>
  </si>
  <si>
    <t>M0</t>
  </si>
  <si>
    <t>M1</t>
  </si>
  <si>
    <t>Production</t>
  </si>
  <si>
    <t>M3</t>
  </si>
  <si>
    <t>Baseline – Production Reference</t>
  </si>
  <si>
    <t>Global Results (M2)</t>
  </si>
  <si>
    <t>Max Equivalent Stress</t>
  </si>
  <si>
    <t>Max Principal Stress</t>
  </si>
  <si>
    <t>count</t>
  </si>
  <si>
    <t>Component Reference</t>
  </si>
  <si>
    <t>Component</t>
  </si>
  <si>
    <t>Mass (g / part)</t>
  </si>
  <si>
    <t>Actuation Link</t>
  </si>
  <si>
    <t>Mounting Frame</t>
  </si>
  <si>
    <t>Case A1 – Contact Face Correction</t>
  </si>
  <si>
    <t>Design / Solver Data</t>
  </si>
  <si>
    <t>Parent model</t>
  </si>
  <si>
    <t>Baseline face misalignment</t>
  </si>
  <si>
    <t>deg</t>
  </si>
  <si>
    <t>CAD wedge correction</t>
  </si>
  <si>
    <t>Evaluation displacement</t>
  </si>
  <si>
    <t>Stabilization damping</t>
  </si>
  <si>
    <t>Initial / Min / Max substeps</t>
  </si>
  <si>
    <t>100 / 20 / 2000</t>
  </si>
  <si>
    <t>Max iterations / substep</t>
  </si>
  <si>
    <t>Converged</t>
  </si>
  <si>
    <t>Yes</t>
  </si>
  <si>
    <t>Results</t>
  </si>
  <si>
    <t>Jaw Contact Block Max Eq. Stress</t>
  </si>
  <si>
    <t xml:space="preserve">Total Contact Area </t>
  </si>
  <si>
    <t>Jaw Plate stress concentration</t>
  </si>
  <si>
    <t>Localized point hotspot</t>
  </si>
  <si>
    <t>Reduced point concentration</t>
  </si>
  <si>
    <t>Final Validation – A2 Full Gripper</t>
  </si>
  <si>
    <t>A1 vs Final A2</t>
  </si>
  <si>
    <t>Baseline vs Design 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</si>
</sst>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</font>
    <font>
      <b/>
      <sz val="11"/>
      <color rgb="FFFFFFFF"/>
      <name val="Aptos"/>
    </font>
    <font>
      <b/>
      <sz val="10"/>
      <color rgb="FFFFFFFF"/>
      <name val="Aptos"/>
    </font>
    <font>
      <sz val="10"/>
      <color rgb="FF000000"/>
      <name val="Aptos"/>
    </font>
    <font>
      <sz val="10"/>
      <color rgb="FF666666"/>
      <name val="Aptos"/>
    </font>
    <font>
      <sz val="10"/>
      <color rgb="FF008000"/>
      <name val="Aptos"/>
    </font>
    <font>
      <sz val="10"/>
      <color rgb="FF0000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AFCFE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7365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164" fontId="4" fillId="4" borderId="0" xfId="0" applyNumberFormat="1" applyFont="1" applyFill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10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0" fontId="6" fillId="0" borderId="0" xfId="0" applyNumberFormat="1" applyFont="1" applyAlignment="1">
      <alignment horizontal="right" vertical="center" wrapText="1"/>
    </xf>
    <xf numFmtId="10" fontId="6" fillId="4" borderId="0" xfId="0" applyNumberFormat="1" applyFont="1" applyFill="1" applyAlignment="1">
      <alignment horizontal="right" vertical="center" wrapText="1"/>
    </xf>
    <xf numFmtId="0" fontId="7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10" fontId="4" fillId="4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horizontal="right" vertical="center" wrapText="1"/>
    </xf>
    <xf numFmtId="164" fontId="4" fillId="4" borderId="0" xfId="0" applyNumberFormat="1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164" fontId="7" fillId="5" borderId="0" xfId="0" applyNumberFormat="1" applyFont="1" applyFill="1" applyAlignment="1">
      <alignment vertical="center" wrapText="1"/>
    </xf>
    <xf numFmtId="164" fontId="6" fillId="4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showGridLines="0" workbookViewId="0">
      <pane ySplit="3" topLeftCell="A4" activePane="bottomLeft" state="frozen"/>
      <selection pane="bottomLeft" activeCell="D7" sqref="D7"/>
    </sheetView>
  </sheetViews>
  <sheetFormatPr defaultRowHeight="14.5" x14ac:dyDescent="0.35"/>
  <cols>
    <col min="1" max="1" width="26" customWidth="1"/>
    <col min="2" max="2" width="22" customWidth="1"/>
    <col min="3" max="3" width="18" customWidth="1"/>
    <col min="4" max="4" width="28" customWidth="1"/>
  </cols>
  <sheetData>
    <row r="1" spans="1:4" ht="24" customHeight="1" x14ac:dyDescent="0.35">
      <c r="A1" s="27" t="s">
        <v>34</v>
      </c>
      <c r="B1" s="26"/>
      <c r="C1" s="26"/>
      <c r="D1" s="26"/>
    </row>
    <row r="3" spans="1:4" ht="20" customHeight="1" x14ac:dyDescent="0.35">
      <c r="A3" s="25" t="s">
        <v>35</v>
      </c>
      <c r="B3" s="26"/>
      <c r="C3" s="26"/>
      <c r="D3" s="26"/>
    </row>
    <row r="4" spans="1:4" ht="30" customHeight="1" x14ac:dyDescent="0.35">
      <c r="A4" s="1" t="s">
        <v>36</v>
      </c>
      <c r="B4" s="1" t="s">
        <v>37</v>
      </c>
      <c r="C4" s="1" t="s">
        <v>38</v>
      </c>
      <c r="D4" s="1" t="s">
        <v>39</v>
      </c>
    </row>
    <row r="5" spans="1:4" x14ac:dyDescent="0.35">
      <c r="A5" s="2" t="s">
        <v>40</v>
      </c>
      <c r="B5" s="2" t="s">
        <v>7</v>
      </c>
      <c r="C5" s="2" t="s">
        <v>41</v>
      </c>
      <c r="D5" s="2" t="s">
        <v>42</v>
      </c>
    </row>
    <row r="6" spans="1:4" ht="26" customHeight="1" x14ac:dyDescent="0.35">
      <c r="A6" s="3" t="s">
        <v>6</v>
      </c>
      <c r="B6" s="3" t="s">
        <v>40</v>
      </c>
      <c r="C6" s="3" t="s">
        <v>43</v>
      </c>
      <c r="D6" s="3" t="s">
        <v>44</v>
      </c>
    </row>
    <row r="7" spans="1:4" ht="26" customHeight="1" x14ac:dyDescent="0.35">
      <c r="A7" s="2" t="s">
        <v>45</v>
      </c>
      <c r="B7" s="2" t="s">
        <v>6</v>
      </c>
      <c r="C7" s="2" t="s">
        <v>46</v>
      </c>
      <c r="D7" s="2" t="s">
        <v>47</v>
      </c>
    </row>
    <row r="8" spans="1:4" ht="26" customHeight="1" x14ac:dyDescent="0.35">
      <c r="A8" s="3" t="s">
        <v>48</v>
      </c>
      <c r="B8" s="3" t="s">
        <v>45</v>
      </c>
      <c r="C8" s="3" t="s">
        <v>49</v>
      </c>
      <c r="D8" s="3" t="s">
        <v>50</v>
      </c>
    </row>
    <row r="9" spans="1:4" x14ac:dyDescent="0.35">
      <c r="A9" s="2"/>
      <c r="B9" s="2"/>
      <c r="C9" s="2"/>
      <c r="D9" s="2"/>
    </row>
    <row r="11" spans="1:4" ht="20" customHeight="1" x14ac:dyDescent="0.35">
      <c r="A11" s="25" t="s">
        <v>51</v>
      </c>
      <c r="B11" s="26"/>
      <c r="C11" s="26"/>
      <c r="D11" s="26"/>
    </row>
    <row r="12" spans="1:4" ht="30" customHeight="1" x14ac:dyDescent="0.35">
      <c r="A12" s="1" t="s">
        <v>2</v>
      </c>
      <c r="B12" s="1" t="s">
        <v>3</v>
      </c>
      <c r="C12" s="1" t="s">
        <v>4</v>
      </c>
      <c r="D12" s="1"/>
    </row>
    <row r="13" spans="1:4" ht="30" customHeight="1" x14ac:dyDescent="0.35">
      <c r="A13" s="2" t="s">
        <v>52</v>
      </c>
      <c r="B13" s="2">
        <v>-28.8</v>
      </c>
      <c r="C13" s="2" t="s">
        <v>53</v>
      </c>
      <c r="D13" s="2"/>
    </row>
    <row r="14" spans="1:4" x14ac:dyDescent="0.35">
      <c r="A14" s="3" t="s">
        <v>54</v>
      </c>
      <c r="B14" s="3">
        <v>2000</v>
      </c>
      <c r="C14" s="3" t="s">
        <v>25</v>
      </c>
      <c r="D14" s="3"/>
    </row>
    <row r="15" spans="1:4" x14ac:dyDescent="0.35">
      <c r="A15" s="2" t="s">
        <v>55</v>
      </c>
      <c r="B15" s="2">
        <v>0.35</v>
      </c>
      <c r="C15" s="2" t="s">
        <v>7</v>
      </c>
      <c r="D15" s="2"/>
    </row>
    <row r="16" spans="1:4" x14ac:dyDescent="0.35">
      <c r="A16" s="3" t="s">
        <v>56</v>
      </c>
      <c r="B16" s="3" t="s">
        <v>57</v>
      </c>
      <c r="C16" s="3" t="s">
        <v>7</v>
      </c>
      <c r="D16" s="3"/>
    </row>
    <row r="17" spans="1:4" x14ac:dyDescent="0.35">
      <c r="A17" s="2" t="s">
        <v>58</v>
      </c>
      <c r="B17" s="2" t="s">
        <v>59</v>
      </c>
      <c r="C17" s="2" t="s">
        <v>7</v>
      </c>
      <c r="D17" s="2"/>
    </row>
    <row r="18" spans="1:4" x14ac:dyDescent="0.35">
      <c r="A18" s="3" t="s">
        <v>60</v>
      </c>
      <c r="B18" s="3" t="s">
        <v>61</v>
      </c>
      <c r="C18" s="3" t="s">
        <v>7</v>
      </c>
      <c r="D18" s="3"/>
    </row>
    <row r="19" spans="1:4" x14ac:dyDescent="0.35">
      <c r="A19" s="2" t="s">
        <v>62</v>
      </c>
      <c r="B19" s="2" t="s">
        <v>63</v>
      </c>
      <c r="C19" s="2" t="s">
        <v>7</v>
      </c>
      <c r="D19" s="2"/>
    </row>
    <row r="20" spans="1:4" x14ac:dyDescent="0.35">
      <c r="A20" s="3"/>
      <c r="B20" s="7"/>
      <c r="C20" s="3"/>
      <c r="D20" s="3"/>
    </row>
    <row r="21" spans="1:4" x14ac:dyDescent="0.35">
      <c r="A21" s="2"/>
      <c r="B21" s="5"/>
      <c r="C21" s="2"/>
      <c r="D21" s="2"/>
    </row>
    <row r="22" spans="1:4" x14ac:dyDescent="0.35">
      <c r="A22" s="3"/>
      <c r="B22" s="4"/>
      <c r="C22" s="3"/>
      <c r="D22" s="3"/>
    </row>
  </sheetData>
  <mergeCells count="3">
    <mergeCell ref="A1:D1"/>
    <mergeCell ref="A3:D3"/>
    <mergeCell ref="A11:D1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1"/>
  <sheetViews>
    <sheetView showGridLines="0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0" customWidth="1"/>
    <col min="2" max="2" width="18" customWidth="1"/>
    <col min="3" max="6" width="13" customWidth="1"/>
    <col min="7" max="7" width="18" customWidth="1"/>
    <col min="8" max="8" width="20" customWidth="1"/>
    <col min="9" max="9" width="22" customWidth="1"/>
    <col min="10" max="10" width="20" customWidth="1"/>
    <col min="11" max="11" width="22" customWidth="1"/>
    <col min="12" max="12" width="18" customWidth="1"/>
    <col min="13" max="13" width="42" customWidth="1"/>
  </cols>
  <sheetData>
    <row r="1" spans="1:13" ht="24" customHeight="1" x14ac:dyDescent="0.35">
      <c r="A1" s="27" t="s">
        <v>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spans="1:13" ht="26" customHeight="1" x14ac:dyDescent="0.35">
      <c r="A3" s="6" t="s">
        <v>65</v>
      </c>
      <c r="B3" s="6" t="s">
        <v>66</v>
      </c>
    </row>
    <row r="5" spans="1:13" ht="30" customHeight="1" x14ac:dyDescent="0.35">
      <c r="A5" s="1" t="s">
        <v>67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 t="s">
        <v>78</v>
      </c>
      <c r="M5" s="1" t="s">
        <v>79</v>
      </c>
    </row>
    <row r="6" spans="1:13" x14ac:dyDescent="0.35">
      <c r="A6" s="3" t="s">
        <v>80</v>
      </c>
      <c r="B6" s="8">
        <v>-20</v>
      </c>
      <c r="C6" s="3" t="s">
        <v>81</v>
      </c>
      <c r="D6" s="3" t="s">
        <v>81</v>
      </c>
      <c r="E6" s="3" t="s">
        <v>82</v>
      </c>
      <c r="F6" s="3" t="s">
        <v>82</v>
      </c>
      <c r="G6" s="8">
        <v>1.5401999999999999E-9</v>
      </c>
      <c r="H6" s="8">
        <v>3.5052999999999999E-4</v>
      </c>
      <c r="I6" s="8">
        <v>2.5820999999999998E-4</v>
      </c>
      <c r="J6" s="8">
        <v>23.427</v>
      </c>
      <c r="K6" s="8">
        <v>6.3307999999999996E-6</v>
      </c>
      <c r="L6" s="8">
        <v>1.1007000000000001E-8</v>
      </c>
      <c r="M6" s="3" t="s">
        <v>83</v>
      </c>
    </row>
    <row r="7" spans="1:13" x14ac:dyDescent="0.35">
      <c r="A7" s="2" t="s">
        <v>84</v>
      </c>
      <c r="B7" s="9">
        <v>-20.5</v>
      </c>
      <c r="C7" s="2" t="s">
        <v>81</v>
      </c>
      <c r="D7" s="2" t="s">
        <v>81</v>
      </c>
      <c r="E7" s="2" t="s">
        <v>82</v>
      </c>
      <c r="F7" s="2" t="s">
        <v>82</v>
      </c>
      <c r="G7" s="9">
        <v>6.8226000000000005E-8</v>
      </c>
      <c r="H7" s="9">
        <v>3.5951000000000001E-4</v>
      </c>
      <c r="I7" s="9">
        <v>2.6586999999999997E-4</v>
      </c>
      <c r="J7" s="9">
        <v>24.026</v>
      </c>
      <c r="K7" s="9">
        <v>8.9785000000000005E-6</v>
      </c>
      <c r="L7" s="9">
        <v>1.5609999999999999E-8</v>
      </c>
      <c r="M7" s="2" t="s">
        <v>83</v>
      </c>
    </row>
    <row r="8" spans="1:13" x14ac:dyDescent="0.35">
      <c r="A8" s="3" t="s">
        <v>85</v>
      </c>
      <c r="B8" s="8">
        <v>-21</v>
      </c>
      <c r="C8" s="3" t="s">
        <v>81</v>
      </c>
      <c r="D8" s="3" t="s">
        <v>81</v>
      </c>
      <c r="E8" s="3" t="s">
        <v>82</v>
      </c>
      <c r="F8" s="3" t="s">
        <v>82</v>
      </c>
      <c r="G8" s="8">
        <v>4.9601000000000002E-8</v>
      </c>
      <c r="H8" s="8">
        <v>3.6859000000000002E-4</v>
      </c>
      <c r="I8" s="8">
        <v>2.7360999999999998E-4</v>
      </c>
      <c r="J8" s="8">
        <v>24.625</v>
      </c>
      <c r="K8" s="8">
        <v>2.9742000000000001E-5</v>
      </c>
      <c r="L8" s="8">
        <v>5.1710999999999999E-8</v>
      </c>
      <c r="M8" s="3" t="s">
        <v>83</v>
      </c>
    </row>
    <row r="9" spans="1:13" x14ac:dyDescent="0.35">
      <c r="A9" s="2" t="s">
        <v>86</v>
      </c>
      <c r="B9" s="9">
        <v>-21.5</v>
      </c>
      <c r="C9" s="2" t="s">
        <v>81</v>
      </c>
      <c r="D9" s="2" t="s">
        <v>81</v>
      </c>
      <c r="E9" s="2" t="s">
        <v>82</v>
      </c>
      <c r="F9" s="2" t="s">
        <v>82</v>
      </c>
      <c r="G9" s="9">
        <v>3.1440999999999997E-8</v>
      </c>
      <c r="H9" s="9">
        <v>0</v>
      </c>
      <c r="I9" s="9">
        <v>0</v>
      </c>
      <c r="J9" s="9">
        <v>25.227</v>
      </c>
      <c r="K9" s="9">
        <v>0</v>
      </c>
      <c r="L9" s="9">
        <v>0</v>
      </c>
      <c r="M9" s="2" t="s">
        <v>83</v>
      </c>
    </row>
    <row r="10" spans="1:13" x14ac:dyDescent="0.35">
      <c r="A10" s="3" t="s">
        <v>87</v>
      </c>
      <c r="B10" s="8">
        <v>-22</v>
      </c>
      <c r="C10" s="3" t="s">
        <v>81</v>
      </c>
      <c r="D10" s="3" t="s">
        <v>81</v>
      </c>
      <c r="E10" s="3" t="s">
        <v>82</v>
      </c>
      <c r="F10" s="3" t="s">
        <v>82</v>
      </c>
      <c r="G10" s="8">
        <v>9.8571999999999994E-9</v>
      </c>
      <c r="H10" s="8">
        <v>0</v>
      </c>
      <c r="I10" s="8">
        <v>0</v>
      </c>
      <c r="J10" s="8">
        <v>25.83</v>
      </c>
      <c r="K10" s="8">
        <v>0</v>
      </c>
      <c r="L10" s="8">
        <v>0</v>
      </c>
      <c r="M10" s="3" t="s">
        <v>83</v>
      </c>
    </row>
    <row r="11" spans="1:13" ht="26" customHeight="1" x14ac:dyDescent="0.35">
      <c r="A11" s="2" t="s">
        <v>88</v>
      </c>
      <c r="B11" s="9">
        <v>-22.5</v>
      </c>
      <c r="C11" s="2" t="s">
        <v>81</v>
      </c>
      <c r="D11" s="2" t="s">
        <v>81</v>
      </c>
      <c r="E11" s="2" t="s">
        <v>81</v>
      </c>
      <c r="F11" s="2" t="s">
        <v>81</v>
      </c>
      <c r="G11" s="9">
        <v>14.964</v>
      </c>
      <c r="H11" s="9">
        <v>3.3731</v>
      </c>
      <c r="I11" s="9">
        <v>4.1646000000000001</v>
      </c>
      <c r="J11" s="9">
        <v>26.414999999999999</v>
      </c>
      <c r="K11" s="9">
        <v>1.3414999999999999</v>
      </c>
      <c r="L11" s="9">
        <v>2.3387E-3</v>
      </c>
      <c r="M11" s="2" t="s">
        <v>89</v>
      </c>
    </row>
    <row r="12" spans="1:13" ht="26" customHeight="1" x14ac:dyDescent="0.35">
      <c r="A12" s="3" t="s">
        <v>90</v>
      </c>
      <c r="B12" s="8">
        <v>-23</v>
      </c>
      <c r="C12" s="3" t="s">
        <v>81</v>
      </c>
      <c r="D12" s="3" t="s">
        <v>81</v>
      </c>
      <c r="E12" s="3" t="s">
        <v>81</v>
      </c>
      <c r="F12" s="3" t="s">
        <v>81</v>
      </c>
      <c r="G12" s="8">
        <v>32.536999999999999</v>
      </c>
      <c r="H12" s="8">
        <v>7.2811000000000003</v>
      </c>
      <c r="I12" s="8">
        <v>9.0200999999999993</v>
      </c>
      <c r="J12" s="8">
        <v>26.998000000000001</v>
      </c>
      <c r="K12" s="8">
        <v>2.9026999999999998</v>
      </c>
      <c r="L12" s="8">
        <v>5.0606000000000002E-3</v>
      </c>
      <c r="M12" s="3" t="s">
        <v>89</v>
      </c>
    </row>
    <row r="13" spans="1:13" ht="26" customHeight="1" x14ac:dyDescent="0.35">
      <c r="A13" s="2" t="s">
        <v>91</v>
      </c>
      <c r="B13" s="9">
        <v>-23.5</v>
      </c>
      <c r="C13" s="2" t="s">
        <v>81</v>
      </c>
      <c r="D13" s="2" t="s">
        <v>81</v>
      </c>
      <c r="E13" s="2" t="s">
        <v>81</v>
      </c>
      <c r="F13" s="2" t="s">
        <v>81</v>
      </c>
      <c r="G13" s="9">
        <v>50.076000000000001</v>
      </c>
      <c r="H13" s="9">
        <v>11.125</v>
      </c>
      <c r="I13" s="9">
        <v>13.829000000000001</v>
      </c>
      <c r="J13" s="9">
        <v>27.582000000000001</v>
      </c>
      <c r="K13" s="9">
        <v>4.4461000000000004</v>
      </c>
      <c r="L13" s="9">
        <v>7.7513E-3</v>
      </c>
      <c r="M13" s="2" t="s">
        <v>89</v>
      </c>
    </row>
    <row r="14" spans="1:13" ht="26" customHeight="1" x14ac:dyDescent="0.35">
      <c r="A14" s="3" t="s">
        <v>92</v>
      </c>
      <c r="B14" s="8">
        <v>-24</v>
      </c>
      <c r="C14" s="3" t="s">
        <v>81</v>
      </c>
      <c r="D14" s="3" t="s">
        <v>81</v>
      </c>
      <c r="E14" s="3" t="s">
        <v>81</v>
      </c>
      <c r="F14" s="3" t="s">
        <v>81</v>
      </c>
      <c r="G14" s="8">
        <v>67.581999999999994</v>
      </c>
      <c r="H14" s="8">
        <v>14.906000000000001</v>
      </c>
      <c r="I14" s="8">
        <v>18.591999999999999</v>
      </c>
      <c r="J14" s="8">
        <v>28.167000000000002</v>
      </c>
      <c r="K14" s="8">
        <v>5.9722</v>
      </c>
      <c r="L14" s="8">
        <v>1.0411999999999999E-2</v>
      </c>
      <c r="M14" s="3" t="s">
        <v>89</v>
      </c>
    </row>
    <row r="15" spans="1:13" ht="26" customHeight="1" x14ac:dyDescent="0.35">
      <c r="A15" s="2" t="s">
        <v>93</v>
      </c>
      <c r="B15" s="9">
        <v>-24.5</v>
      </c>
      <c r="C15" s="2" t="s">
        <v>81</v>
      </c>
      <c r="D15" s="2" t="s">
        <v>81</v>
      </c>
      <c r="E15" s="2" t="s">
        <v>81</v>
      </c>
      <c r="F15" s="2" t="s">
        <v>81</v>
      </c>
      <c r="G15" s="9">
        <v>85.054000000000002</v>
      </c>
      <c r="H15" s="9">
        <v>18.623999999999999</v>
      </c>
      <c r="I15" s="9">
        <v>23.31</v>
      </c>
      <c r="J15" s="9">
        <v>28.753</v>
      </c>
      <c r="K15" s="9">
        <v>7.4813000000000001</v>
      </c>
      <c r="L15" s="9">
        <v>1.3043000000000001E-2</v>
      </c>
      <c r="M15" s="2" t="s">
        <v>89</v>
      </c>
    </row>
    <row r="16" spans="1:13" ht="26" customHeight="1" x14ac:dyDescent="0.35">
      <c r="A16" s="3" t="s">
        <v>94</v>
      </c>
      <c r="B16" s="8">
        <v>-25</v>
      </c>
      <c r="C16" s="3" t="s">
        <v>81</v>
      </c>
      <c r="D16" s="3" t="s">
        <v>81</v>
      </c>
      <c r="E16" s="3" t="s">
        <v>81</v>
      </c>
      <c r="F16" s="3" t="s">
        <v>81</v>
      </c>
      <c r="G16" s="8">
        <v>102.49</v>
      </c>
      <c r="H16" s="8">
        <v>22.28</v>
      </c>
      <c r="I16" s="8">
        <v>27.983000000000001</v>
      </c>
      <c r="J16" s="8">
        <v>29.341000000000001</v>
      </c>
      <c r="K16" s="8">
        <v>8.9738000000000007</v>
      </c>
      <c r="L16" s="8">
        <v>1.5644999999999999E-2</v>
      </c>
      <c r="M16" s="3" t="s">
        <v>89</v>
      </c>
    </row>
    <row r="17" spans="1:13" ht="26" customHeight="1" x14ac:dyDescent="0.35">
      <c r="A17" s="2" t="s">
        <v>95</v>
      </c>
      <c r="B17" s="9">
        <v>-26</v>
      </c>
      <c r="C17" s="2" t="s">
        <v>81</v>
      </c>
      <c r="D17" s="2" t="s">
        <v>81</v>
      </c>
      <c r="E17" s="2" t="s">
        <v>81</v>
      </c>
      <c r="F17" s="2" t="s">
        <v>81</v>
      </c>
      <c r="G17" s="9">
        <v>137.25</v>
      </c>
      <c r="H17" s="9">
        <v>29.405999999999999</v>
      </c>
      <c r="I17" s="9">
        <v>37.195999999999998</v>
      </c>
      <c r="J17" s="9">
        <v>30.52</v>
      </c>
      <c r="K17" s="9">
        <v>11.911</v>
      </c>
      <c r="L17" s="9">
        <v>2.0766E-2</v>
      </c>
      <c r="M17" s="2" t="s">
        <v>89</v>
      </c>
    </row>
    <row r="18" spans="1:13" ht="26" customHeight="1" x14ac:dyDescent="0.35">
      <c r="A18" s="3" t="s">
        <v>96</v>
      </c>
      <c r="B18" s="8">
        <v>-27</v>
      </c>
      <c r="C18" s="3" t="s">
        <v>81</v>
      </c>
      <c r="D18" s="3" t="s">
        <v>81</v>
      </c>
      <c r="E18" s="3" t="s">
        <v>81</v>
      </c>
      <c r="F18" s="3" t="s">
        <v>81</v>
      </c>
      <c r="G18" s="8">
        <v>171.87</v>
      </c>
      <c r="H18" s="8">
        <v>36.284999999999997</v>
      </c>
      <c r="I18" s="8">
        <v>46.232999999999997</v>
      </c>
      <c r="J18" s="8">
        <v>31.704000000000001</v>
      </c>
      <c r="K18" s="8">
        <v>14.78</v>
      </c>
      <c r="L18" s="8">
        <v>2.5767999999999999E-2</v>
      </c>
      <c r="M18" s="3" t="s">
        <v>89</v>
      </c>
    </row>
    <row r="19" spans="1:13" ht="26" customHeight="1" x14ac:dyDescent="0.35">
      <c r="A19" s="2" t="s">
        <v>97</v>
      </c>
      <c r="B19" s="9">
        <v>-28</v>
      </c>
      <c r="C19" s="2" t="s">
        <v>81</v>
      </c>
      <c r="D19" s="2" t="s">
        <v>81</v>
      </c>
      <c r="E19" s="2" t="s">
        <v>81</v>
      </c>
      <c r="F19" s="2" t="s">
        <v>81</v>
      </c>
      <c r="G19" s="9">
        <v>206.32</v>
      </c>
      <c r="H19" s="9">
        <v>42.92</v>
      </c>
      <c r="I19" s="9">
        <v>55.094999999999999</v>
      </c>
      <c r="J19" s="9">
        <v>32.893999999999998</v>
      </c>
      <c r="K19" s="9">
        <v>17.591000000000001</v>
      </c>
      <c r="L19" s="9">
        <v>3.0668999999999998E-2</v>
      </c>
      <c r="M19" s="2" t="s">
        <v>89</v>
      </c>
    </row>
    <row r="20" spans="1:13" ht="26" customHeight="1" x14ac:dyDescent="0.35">
      <c r="A20" s="3" t="s">
        <v>98</v>
      </c>
      <c r="B20" s="8">
        <v>-28.5</v>
      </c>
      <c r="C20" s="3" t="s">
        <v>81</v>
      </c>
      <c r="D20" s="3" t="s">
        <v>81</v>
      </c>
      <c r="E20" s="3" t="s">
        <v>81</v>
      </c>
      <c r="F20" s="3" t="s">
        <v>81</v>
      </c>
      <c r="G20" s="8">
        <v>223.48</v>
      </c>
      <c r="H20" s="8">
        <v>46.146000000000001</v>
      </c>
      <c r="I20" s="8">
        <v>59.463000000000001</v>
      </c>
      <c r="J20" s="8">
        <v>33.49</v>
      </c>
      <c r="K20" s="8">
        <v>18.974</v>
      </c>
      <c r="L20" s="8">
        <v>3.3078999999999997E-2</v>
      </c>
      <c r="M20" s="3" t="s">
        <v>89</v>
      </c>
    </row>
    <row r="21" spans="1:13" ht="26" customHeight="1" x14ac:dyDescent="0.35">
      <c r="A21" s="2" t="s">
        <v>99</v>
      </c>
      <c r="B21" s="9">
        <v>-28.8</v>
      </c>
      <c r="C21" s="2" t="s">
        <v>81</v>
      </c>
      <c r="D21" s="2" t="s">
        <v>81</v>
      </c>
      <c r="E21" s="2" t="s">
        <v>81</v>
      </c>
      <c r="F21" s="2" t="s">
        <v>81</v>
      </c>
      <c r="G21" s="9">
        <v>257.73</v>
      </c>
      <c r="H21" s="9">
        <v>48.026000000000003</v>
      </c>
      <c r="I21" s="9">
        <v>62.051000000000002</v>
      </c>
      <c r="J21" s="9">
        <v>33.848999999999997</v>
      </c>
      <c r="K21" s="9">
        <v>19.824999999999999</v>
      </c>
      <c r="L21" s="9">
        <v>3.4563000000000003E-2</v>
      </c>
      <c r="M21" s="2" t="s">
        <v>89</v>
      </c>
    </row>
  </sheetData>
  <mergeCells count="1">
    <mergeCell ref="A1:M1"/>
  </mergeCell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"/>
  <sheetViews>
    <sheetView showGridLines="0" workbookViewId="0">
      <pane ySplit="3" topLeftCell="A4" activePane="bottomLeft" state="frozen"/>
      <selection pane="bottomLeft" sqref="A1:O1"/>
    </sheetView>
  </sheetViews>
  <sheetFormatPr defaultRowHeight="14.5" x14ac:dyDescent="0.35"/>
  <cols>
    <col min="1" max="1" width="10" customWidth="1"/>
    <col min="2" max="2" width="16" customWidth="1"/>
    <col min="3" max="3" width="17" customWidth="1"/>
    <col min="4" max="4" width="13" customWidth="1"/>
    <col min="5" max="5" width="18" customWidth="1"/>
    <col min="6" max="7" width="12" customWidth="1"/>
    <col min="8" max="8" width="18" customWidth="1"/>
    <col min="9" max="9" width="12" customWidth="1"/>
    <col min="10" max="10" width="20" customWidth="1"/>
    <col min="11" max="11" width="14" customWidth="1"/>
    <col min="12" max="12" width="22" customWidth="1"/>
    <col min="13" max="13" width="14" customWidth="1"/>
    <col min="14" max="14" width="23" customWidth="1"/>
    <col min="15" max="15" width="14" customWidth="1"/>
  </cols>
  <sheetData>
    <row r="1" spans="1:15" ht="24" customHeight="1" x14ac:dyDescent="0.35">
      <c r="A1" s="27" t="s">
        <v>100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3" spans="1:15" ht="30" customHeight="1" x14ac:dyDescent="0.35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  <c r="F3" s="1" t="s">
        <v>106</v>
      </c>
      <c r="G3" s="1" t="s">
        <v>107</v>
      </c>
      <c r="H3" s="1" t="s">
        <v>73</v>
      </c>
      <c r="I3" s="1" t="s">
        <v>108</v>
      </c>
      <c r="J3" s="1" t="s">
        <v>74</v>
      </c>
      <c r="K3" s="1" t="s">
        <v>109</v>
      </c>
      <c r="L3" s="1" t="s">
        <v>75</v>
      </c>
      <c r="M3" s="1" t="s">
        <v>110</v>
      </c>
      <c r="N3" s="1" t="s">
        <v>77</v>
      </c>
      <c r="O3" s="1" t="s">
        <v>111</v>
      </c>
    </row>
    <row r="4" spans="1:15" x14ac:dyDescent="0.35">
      <c r="A4" s="3" t="s">
        <v>112</v>
      </c>
      <c r="B4" s="8">
        <v>10</v>
      </c>
      <c r="C4" s="8">
        <v>2.5</v>
      </c>
      <c r="D4" s="8">
        <v>3</v>
      </c>
      <c r="E4" s="8">
        <v>2.5</v>
      </c>
      <c r="F4" s="10">
        <v>115014</v>
      </c>
      <c r="G4" s="10">
        <v>55882</v>
      </c>
      <c r="H4" s="8">
        <v>257.22000000000003</v>
      </c>
      <c r="I4" s="11"/>
      <c r="J4" s="8">
        <v>47.865000000000002</v>
      </c>
      <c r="K4" s="11"/>
      <c r="L4" s="8">
        <v>61.712000000000003</v>
      </c>
      <c r="M4" s="11"/>
      <c r="N4" s="8">
        <v>19.812000000000001</v>
      </c>
      <c r="O4" s="3"/>
    </row>
    <row r="5" spans="1:15" x14ac:dyDescent="0.35">
      <c r="A5" s="2" t="s">
        <v>113</v>
      </c>
      <c r="B5" s="9">
        <v>10</v>
      </c>
      <c r="C5" s="9">
        <v>2</v>
      </c>
      <c r="D5" s="9">
        <v>2.25</v>
      </c>
      <c r="E5" s="9">
        <v>2</v>
      </c>
      <c r="F5" s="12">
        <v>128372</v>
      </c>
      <c r="G5" s="12">
        <v>62989</v>
      </c>
      <c r="H5" s="9">
        <v>257.06</v>
      </c>
      <c r="I5" s="13">
        <f>IFERROR(ABS(H5-H4)/ABS(H5),"")</f>
        <v>6.2242278067386992E-4</v>
      </c>
      <c r="J5" s="9">
        <v>48.658999999999999</v>
      </c>
      <c r="K5" s="13">
        <f>IFERROR(ABS(J5-J4)/ABS(J5),"")</f>
        <v>1.6317639080128999E-2</v>
      </c>
      <c r="L5" s="9">
        <v>62.15</v>
      </c>
      <c r="M5" s="13">
        <f>IFERROR(ABS(L5-L4)/ABS(L5),"")</f>
        <v>7.0474658085276799E-3</v>
      </c>
      <c r="N5" s="9">
        <v>19.826000000000001</v>
      </c>
      <c r="O5" s="2"/>
    </row>
    <row r="6" spans="1:15" x14ac:dyDescent="0.35">
      <c r="A6" s="3" t="s">
        <v>63</v>
      </c>
      <c r="B6" s="8">
        <v>10</v>
      </c>
      <c r="C6" s="8">
        <v>1.5</v>
      </c>
      <c r="D6" s="8">
        <v>1.7</v>
      </c>
      <c r="E6" s="8">
        <v>1.5</v>
      </c>
      <c r="F6" s="10">
        <v>168478</v>
      </c>
      <c r="G6" s="10">
        <v>84428</v>
      </c>
      <c r="H6" s="8">
        <v>256.67</v>
      </c>
      <c r="I6" s="14">
        <f>IFERROR(ABS(H6-H5)/ABS(H6),"")</f>
        <v>1.5194607862235024E-3</v>
      </c>
      <c r="J6" s="8">
        <v>48.006999999999998</v>
      </c>
      <c r="K6" s="14">
        <f>IFERROR(ABS(J6-J5)/ABS(J6),"")</f>
        <v>1.3581352719395111E-2</v>
      </c>
      <c r="L6" s="8">
        <v>57.06</v>
      </c>
      <c r="M6" s="14">
        <f>IFERROR(ABS(L6-L5)/ABS(L6),"")</f>
        <v>8.9204346302138027E-2</v>
      </c>
      <c r="N6" s="8">
        <v>19.779</v>
      </c>
      <c r="O6" s="3" t="s">
        <v>114</v>
      </c>
    </row>
    <row r="7" spans="1:15" x14ac:dyDescent="0.35">
      <c r="A7" s="2" t="s">
        <v>115</v>
      </c>
      <c r="B7" s="9">
        <v>10</v>
      </c>
      <c r="C7" s="9">
        <v>1.25</v>
      </c>
      <c r="D7" s="9">
        <v>1.3</v>
      </c>
      <c r="E7" s="9">
        <v>1</v>
      </c>
      <c r="F7" s="12">
        <v>219611</v>
      </c>
      <c r="G7" s="12">
        <v>113578</v>
      </c>
      <c r="H7" s="9">
        <v>256.27999999999997</v>
      </c>
      <c r="I7" s="13">
        <f>IFERROR(ABS(H7-H6)/ABS(H7),"")</f>
        <v>1.5217730607150119E-3</v>
      </c>
      <c r="J7" s="9">
        <v>49.723999999999997</v>
      </c>
      <c r="K7" s="13">
        <f>IFERROR(ABS(J7-J6)/ABS(J7),"")</f>
        <v>3.4530608961467278E-2</v>
      </c>
      <c r="L7" s="9">
        <v>58.151000000000003</v>
      </c>
      <c r="M7" s="13">
        <f>IFERROR(ABS(L7-L6)/ABS(L7),"")</f>
        <v>1.8761500232154237E-2</v>
      </c>
      <c r="N7" s="9">
        <v>19.766999999999999</v>
      </c>
      <c r="O7" s="2"/>
    </row>
  </sheetData>
  <mergeCells count="1">
    <mergeCell ref="A1:O1"/>
  </mergeCells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7"/>
  <sheetViews>
    <sheetView showGridLines="0" workbookViewId="0">
      <pane ySplit="3" topLeftCell="A4" activePane="bottomLeft" state="frozen"/>
      <selection pane="bottomLeft" activeCell="C15" sqref="C15"/>
    </sheetView>
  </sheetViews>
  <sheetFormatPr defaultRowHeight="14.5" x14ac:dyDescent="0.35"/>
  <cols>
    <col min="1" max="1" width="30" customWidth="1"/>
    <col min="2" max="2" width="20" customWidth="1"/>
    <col min="3" max="3" width="24" customWidth="1"/>
    <col min="4" max="4" width="20" customWidth="1"/>
  </cols>
  <sheetData>
    <row r="1" spans="1:4" ht="24" customHeight="1" x14ac:dyDescent="0.35">
      <c r="A1" s="27" t="s">
        <v>116</v>
      </c>
      <c r="B1" s="26"/>
      <c r="C1" s="26"/>
      <c r="D1" s="26"/>
    </row>
    <row r="3" spans="1:4" ht="20" customHeight="1" x14ac:dyDescent="0.35">
      <c r="A3" s="25" t="s">
        <v>117</v>
      </c>
      <c r="B3" s="26"/>
      <c r="C3" s="26"/>
      <c r="D3" s="26"/>
    </row>
    <row r="4" spans="1:4" ht="30" customHeight="1" x14ac:dyDescent="0.35">
      <c r="A4" s="1" t="s">
        <v>19</v>
      </c>
      <c r="B4" s="1" t="s">
        <v>3</v>
      </c>
      <c r="C4" s="1" t="s">
        <v>4</v>
      </c>
      <c r="D4" s="1"/>
    </row>
    <row r="5" spans="1:4" x14ac:dyDescent="0.35">
      <c r="A5" s="2" t="s">
        <v>27</v>
      </c>
      <c r="B5" s="9">
        <v>256.67</v>
      </c>
      <c r="C5" s="2" t="s">
        <v>28</v>
      </c>
      <c r="D5" s="2"/>
    </row>
    <row r="6" spans="1:4" x14ac:dyDescent="0.35">
      <c r="A6" s="3" t="s">
        <v>118</v>
      </c>
      <c r="B6" s="8">
        <v>48.006999999999998</v>
      </c>
      <c r="C6" s="3" t="s">
        <v>25</v>
      </c>
      <c r="D6" s="3"/>
    </row>
    <row r="7" spans="1:4" x14ac:dyDescent="0.35">
      <c r="A7" s="2" t="s">
        <v>119</v>
      </c>
      <c r="B7" s="9">
        <v>57.06</v>
      </c>
      <c r="C7" s="2" t="s">
        <v>25</v>
      </c>
      <c r="D7" s="2"/>
    </row>
    <row r="8" spans="1:4" x14ac:dyDescent="0.35">
      <c r="A8" s="3" t="s">
        <v>29</v>
      </c>
      <c r="B8" s="8">
        <v>19.779</v>
      </c>
      <c r="C8" s="3" t="s">
        <v>25</v>
      </c>
      <c r="D8" s="3"/>
    </row>
    <row r="9" spans="1:4" x14ac:dyDescent="0.35">
      <c r="A9" s="2" t="s">
        <v>106</v>
      </c>
      <c r="B9" s="12">
        <v>168478</v>
      </c>
      <c r="C9" s="2" t="s">
        <v>120</v>
      </c>
      <c r="D9" s="2"/>
    </row>
    <row r="10" spans="1:4" x14ac:dyDescent="0.35">
      <c r="A10" s="3" t="s">
        <v>107</v>
      </c>
      <c r="B10" s="10">
        <v>84428</v>
      </c>
      <c r="C10" s="3" t="s">
        <v>120</v>
      </c>
      <c r="D10" s="3"/>
    </row>
    <row r="13" spans="1:4" ht="20" customHeight="1" x14ac:dyDescent="0.35">
      <c r="A13" s="25" t="s">
        <v>121</v>
      </c>
      <c r="B13" s="26"/>
      <c r="C13" s="26"/>
      <c r="D13" s="26"/>
    </row>
    <row r="14" spans="1:4" ht="30" customHeight="1" x14ac:dyDescent="0.35">
      <c r="A14" s="1" t="s">
        <v>122</v>
      </c>
      <c r="B14" s="1" t="s">
        <v>123</v>
      </c>
      <c r="C14" s="1" t="s">
        <v>74</v>
      </c>
      <c r="D14" s="1"/>
    </row>
    <row r="15" spans="1:4" x14ac:dyDescent="0.35">
      <c r="A15" s="2" t="s">
        <v>9</v>
      </c>
      <c r="B15" s="9">
        <v>40.1</v>
      </c>
      <c r="C15" s="9">
        <v>8.9373000000000005</v>
      </c>
      <c r="D15" s="2"/>
    </row>
    <row r="16" spans="1:4" x14ac:dyDescent="0.35">
      <c r="A16" s="3" t="s">
        <v>124</v>
      </c>
      <c r="B16" s="8">
        <v>41.5</v>
      </c>
      <c r="C16" s="8">
        <v>36.71</v>
      </c>
      <c r="D16" s="3"/>
    </row>
    <row r="17" spans="1:4" x14ac:dyDescent="0.35">
      <c r="A17" s="2" t="s">
        <v>125</v>
      </c>
      <c r="B17" s="9">
        <v>367.5</v>
      </c>
      <c r="C17" s="9">
        <v>37.115000000000002</v>
      </c>
      <c r="D17" s="2"/>
    </row>
  </sheetData>
  <mergeCells count="3">
    <mergeCell ref="A1:D1"/>
    <mergeCell ref="A13:D13"/>
    <mergeCell ref="A3:D3"/>
  </mergeCells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7"/>
  <sheetViews>
    <sheetView showGridLines="0" workbookViewId="0">
      <pane ySplit="3" topLeftCell="A4" activePane="bottomLeft" state="frozen"/>
      <selection pane="bottomLeft" activeCell="C22" sqref="C22"/>
    </sheetView>
  </sheetViews>
  <sheetFormatPr defaultRowHeight="14.5" x14ac:dyDescent="0.35"/>
  <cols>
    <col min="1" max="1" width="34" customWidth="1"/>
    <col min="2" max="3" width="22" customWidth="1"/>
    <col min="4" max="4" width="16" customWidth="1"/>
    <col min="5" max="5" width="12" customWidth="1"/>
  </cols>
  <sheetData>
    <row r="1" spans="1:5" ht="24" customHeight="1" x14ac:dyDescent="0.35">
      <c r="A1" s="27" t="s">
        <v>126</v>
      </c>
      <c r="B1" s="26"/>
      <c r="C1" s="26"/>
      <c r="D1" s="26"/>
      <c r="E1" s="26"/>
    </row>
    <row r="3" spans="1:5" ht="20" customHeight="1" x14ac:dyDescent="0.35">
      <c r="A3" s="25" t="s">
        <v>127</v>
      </c>
      <c r="B3" s="26"/>
      <c r="C3" s="26"/>
      <c r="D3" s="26"/>
      <c r="E3" s="26"/>
    </row>
    <row r="4" spans="1:5" ht="30" customHeight="1" x14ac:dyDescent="0.35">
      <c r="A4" s="1" t="s">
        <v>2</v>
      </c>
      <c r="B4" s="1" t="s">
        <v>3</v>
      </c>
      <c r="C4" s="1" t="s">
        <v>4</v>
      </c>
      <c r="D4" s="1"/>
      <c r="E4" s="1"/>
    </row>
    <row r="5" spans="1:5" x14ac:dyDescent="0.35">
      <c r="A5" s="2" t="s">
        <v>128</v>
      </c>
      <c r="B5" s="2" t="s">
        <v>40</v>
      </c>
      <c r="C5" s="2" t="s">
        <v>7</v>
      </c>
      <c r="D5" s="2"/>
      <c r="E5" s="2"/>
    </row>
    <row r="6" spans="1:5" x14ac:dyDescent="0.35">
      <c r="A6" s="3" t="s">
        <v>129</v>
      </c>
      <c r="B6" s="21">
        <v>5.3</v>
      </c>
      <c r="C6" s="3" t="s">
        <v>130</v>
      </c>
      <c r="D6" s="3"/>
      <c r="E6" s="3"/>
    </row>
    <row r="7" spans="1:5" x14ac:dyDescent="0.35">
      <c r="A7" s="2" t="s">
        <v>131</v>
      </c>
      <c r="B7" s="22">
        <v>3</v>
      </c>
      <c r="C7" s="2" t="s">
        <v>130</v>
      </c>
      <c r="D7" s="2"/>
      <c r="E7" s="2"/>
    </row>
    <row r="8" spans="1:5" x14ac:dyDescent="0.35">
      <c r="A8" s="3" t="s">
        <v>132</v>
      </c>
      <c r="B8" s="21">
        <v>-28.8</v>
      </c>
      <c r="C8" s="3" t="s">
        <v>53</v>
      </c>
      <c r="D8" s="3"/>
      <c r="E8" s="3"/>
    </row>
    <row r="9" spans="1:5" x14ac:dyDescent="0.35">
      <c r="A9" s="2" t="s">
        <v>58</v>
      </c>
      <c r="B9" s="2" t="s">
        <v>59</v>
      </c>
      <c r="C9" s="2" t="s">
        <v>7</v>
      </c>
      <c r="D9" s="2"/>
      <c r="E9" s="2"/>
    </row>
    <row r="10" spans="1:5" x14ac:dyDescent="0.35">
      <c r="A10" s="3" t="s">
        <v>133</v>
      </c>
      <c r="B10" s="21">
        <v>0.1</v>
      </c>
      <c r="C10" s="3" t="s">
        <v>7</v>
      </c>
      <c r="D10" s="3"/>
      <c r="E10" s="3"/>
    </row>
    <row r="11" spans="1:5" x14ac:dyDescent="0.35">
      <c r="A11" s="2" t="s">
        <v>134</v>
      </c>
      <c r="B11" s="2" t="s">
        <v>135</v>
      </c>
      <c r="C11" s="2" t="s">
        <v>7</v>
      </c>
      <c r="D11" s="2"/>
      <c r="E11" s="2"/>
    </row>
    <row r="12" spans="1:5" x14ac:dyDescent="0.35">
      <c r="A12" s="3" t="s">
        <v>136</v>
      </c>
      <c r="B12" s="3">
        <v>50</v>
      </c>
      <c r="C12" s="3" t="s">
        <v>7</v>
      </c>
      <c r="D12" s="3"/>
      <c r="E12" s="3"/>
    </row>
    <row r="13" spans="1:5" x14ac:dyDescent="0.35">
      <c r="A13" s="2" t="s">
        <v>137</v>
      </c>
      <c r="B13" s="2" t="s">
        <v>138</v>
      </c>
      <c r="C13" s="2" t="s">
        <v>7</v>
      </c>
      <c r="D13" s="2"/>
      <c r="E13" s="2"/>
    </row>
    <row r="16" spans="1:5" ht="20" customHeight="1" x14ac:dyDescent="0.35">
      <c r="A16" s="25" t="s">
        <v>139</v>
      </c>
      <c r="B16" s="26"/>
      <c r="C16" s="26"/>
      <c r="D16" s="26"/>
      <c r="E16" s="26"/>
    </row>
    <row r="17" spans="1:5" ht="30" customHeight="1" x14ac:dyDescent="0.35">
      <c r="A17" s="1" t="s">
        <v>19</v>
      </c>
      <c r="B17" s="1" t="s">
        <v>40</v>
      </c>
      <c r="C17" s="1" t="s">
        <v>6</v>
      </c>
      <c r="D17" s="1" t="s">
        <v>21</v>
      </c>
      <c r="E17" s="1" t="s">
        <v>4</v>
      </c>
    </row>
    <row r="18" spans="1:5" x14ac:dyDescent="0.35">
      <c r="A18" s="3" t="s">
        <v>27</v>
      </c>
      <c r="B18" s="8">
        <v>256.67</v>
      </c>
      <c r="C18" s="15">
        <v>48.561</v>
      </c>
      <c r="D18" s="14">
        <f>IF(OR(B18="",C18=""),"",(C18-B18)/ABS(B18))</f>
        <v>-0.81080375579537922</v>
      </c>
      <c r="E18" s="3" t="s">
        <v>28</v>
      </c>
    </row>
    <row r="19" spans="1:5" x14ac:dyDescent="0.35">
      <c r="A19" s="2" t="s">
        <v>29</v>
      </c>
      <c r="B19" s="9">
        <v>19.779</v>
      </c>
      <c r="C19" s="15">
        <v>1.1391</v>
      </c>
      <c r="D19" s="13">
        <f>IF(OR(B19="",C19=""),"",(C19-B19)/ABS(B19))</f>
        <v>-0.94240861519793728</v>
      </c>
      <c r="E19" s="2" t="s">
        <v>25</v>
      </c>
    </row>
    <row r="20" spans="1:5" x14ac:dyDescent="0.35">
      <c r="A20" s="3" t="s">
        <v>24</v>
      </c>
      <c r="B20" s="8">
        <v>8.65</v>
      </c>
      <c r="C20" s="15">
        <v>7.7262000000000004</v>
      </c>
      <c r="D20" s="14">
        <f>IF(OR(B20="",C20=""),"",(C20-B20)/ABS(B20))</f>
        <v>-0.10679768786127167</v>
      </c>
      <c r="E20" s="3" t="s">
        <v>25</v>
      </c>
    </row>
    <row r="21" spans="1:5" x14ac:dyDescent="0.35">
      <c r="A21" s="2" t="s">
        <v>140</v>
      </c>
      <c r="B21" s="16">
        <v>48.006999999999998</v>
      </c>
      <c r="C21" s="15">
        <v>16.782</v>
      </c>
      <c r="D21" s="17">
        <v>-0.65039999999999998</v>
      </c>
      <c r="E21" s="2" t="s">
        <v>25</v>
      </c>
    </row>
    <row r="22" spans="1:5" x14ac:dyDescent="0.35">
      <c r="A22" s="3" t="s">
        <v>32</v>
      </c>
      <c r="B22" s="8">
        <v>48.006999999999998</v>
      </c>
      <c r="C22" s="15">
        <v>16.782</v>
      </c>
      <c r="D22" s="14">
        <f>IF(OR(B22="",C22=""),"",(C22-B22)/ABS(B22))</f>
        <v>-0.65042597954464976</v>
      </c>
      <c r="E22" s="3" t="s">
        <v>25</v>
      </c>
    </row>
    <row r="23" spans="1:5" x14ac:dyDescent="0.35">
      <c r="A23" s="2" t="s">
        <v>33</v>
      </c>
      <c r="B23" s="9">
        <v>57.06</v>
      </c>
      <c r="C23" s="15">
        <v>27.353999999999999</v>
      </c>
      <c r="D23" s="13">
        <f>IF(OR(B23="",C23=""),"",(C23-B23)/ABS(B23))</f>
        <v>-0.52060988433228184</v>
      </c>
      <c r="E23" s="2" t="s">
        <v>25</v>
      </c>
    </row>
    <row r="24" spans="1:5" x14ac:dyDescent="0.35">
      <c r="A24" s="3" t="s">
        <v>141</v>
      </c>
      <c r="B24" s="16">
        <v>32.378399999999999</v>
      </c>
      <c r="C24" s="15">
        <v>122.72</v>
      </c>
      <c r="D24" s="17">
        <v>2.7902</v>
      </c>
      <c r="E24" s="3" t="s">
        <v>31</v>
      </c>
    </row>
    <row r="27" spans="1:5" ht="26" customHeight="1" x14ac:dyDescent="0.35">
      <c r="A27" s="6" t="s">
        <v>142</v>
      </c>
      <c r="B27" s="6" t="s">
        <v>143</v>
      </c>
      <c r="C27" s="6" t="s">
        <v>144</v>
      </c>
    </row>
  </sheetData>
  <mergeCells count="3">
    <mergeCell ref="A16:E16"/>
    <mergeCell ref="A1:E1"/>
    <mergeCell ref="A3:E3"/>
  </mergeCells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5"/>
  <sheetViews>
    <sheetView showGridLines="0" workbookViewId="0">
      <pane ySplit="3" topLeftCell="A4" activePane="bottomLeft" state="frozen"/>
      <selection pane="bottomLeft" activeCell="D25" sqref="D25"/>
    </sheetView>
  </sheetViews>
  <sheetFormatPr defaultRowHeight="14.5" x14ac:dyDescent="0.35"/>
  <cols>
    <col min="1" max="1" width="32" customWidth="1"/>
    <col min="2" max="3" width="18" customWidth="1"/>
    <col min="4" max="4" width="16" customWidth="1"/>
    <col min="5" max="5" width="12" customWidth="1"/>
    <col min="6" max="10" width="3" customWidth="1"/>
  </cols>
  <sheetData>
    <row r="1" spans="1:10" ht="24" customHeight="1" x14ac:dyDescent="0.35">
      <c r="A1" s="27" t="s">
        <v>0</v>
      </c>
      <c r="B1" s="26"/>
      <c r="C1" s="26"/>
      <c r="D1" s="26"/>
      <c r="E1" s="26"/>
    </row>
    <row r="3" spans="1:10" x14ac:dyDescent="0.35">
      <c r="A3" s="25" t="s">
        <v>1</v>
      </c>
      <c r="B3" s="26"/>
      <c r="C3" s="26"/>
      <c r="D3" s="26"/>
      <c r="E3" s="26"/>
    </row>
    <row r="4" spans="1:10" ht="30" customHeight="1" x14ac:dyDescent="0.35">
      <c r="A4" s="1" t="s">
        <v>2</v>
      </c>
      <c r="B4" s="1" t="s">
        <v>3</v>
      </c>
      <c r="C4" s="1" t="s">
        <v>4</v>
      </c>
      <c r="D4" s="1"/>
      <c r="E4" s="1"/>
    </row>
    <row r="5" spans="1:10" ht="30" customHeight="1" x14ac:dyDescent="0.35">
      <c r="A5" s="2" t="s">
        <v>5</v>
      </c>
      <c r="B5" s="2" t="s">
        <v>6</v>
      </c>
      <c r="C5" s="2" t="s">
        <v>7</v>
      </c>
      <c r="D5" s="2"/>
      <c r="E5" s="2"/>
      <c r="F5" s="1"/>
      <c r="G5" s="1"/>
      <c r="H5" s="1"/>
      <c r="I5" s="1"/>
      <c r="J5" s="1"/>
    </row>
    <row r="6" spans="1:10" x14ac:dyDescent="0.35">
      <c r="A6" s="3" t="s">
        <v>8</v>
      </c>
      <c r="B6" s="3" t="s">
        <v>9</v>
      </c>
      <c r="C6" s="3" t="s">
        <v>7</v>
      </c>
      <c r="D6" s="3"/>
      <c r="E6" s="3"/>
      <c r="F6" s="20"/>
      <c r="G6" s="20"/>
      <c r="H6" s="20"/>
      <c r="I6" s="20"/>
      <c r="J6" s="10"/>
    </row>
    <row r="7" spans="1:10" x14ac:dyDescent="0.35">
      <c r="A7" s="2" t="s">
        <v>10</v>
      </c>
      <c r="B7" s="2" t="s">
        <v>11</v>
      </c>
      <c r="C7" s="2" t="s">
        <v>7</v>
      </c>
      <c r="D7" s="2"/>
      <c r="E7" s="2"/>
      <c r="F7" s="15"/>
      <c r="G7" s="15"/>
      <c r="H7" s="15"/>
      <c r="I7" s="15"/>
      <c r="J7" s="18"/>
    </row>
    <row r="8" spans="1:10" x14ac:dyDescent="0.35">
      <c r="A8" s="3" t="s">
        <v>12</v>
      </c>
      <c r="B8" s="3">
        <v>70</v>
      </c>
      <c r="C8" s="3" t="s">
        <v>13</v>
      </c>
      <c r="D8" s="3"/>
      <c r="E8" s="3"/>
      <c r="F8" s="15"/>
      <c r="G8" s="15"/>
      <c r="H8" s="15"/>
      <c r="I8" s="15"/>
      <c r="J8" s="20"/>
    </row>
    <row r="9" spans="1:10" x14ac:dyDescent="0.35">
      <c r="A9" s="2" t="s">
        <v>14</v>
      </c>
      <c r="B9" s="2" t="s">
        <v>15</v>
      </c>
      <c r="C9" s="2" t="s">
        <v>7</v>
      </c>
      <c r="D9" s="2"/>
      <c r="E9" s="2"/>
      <c r="F9" s="15"/>
      <c r="G9" s="15"/>
      <c r="H9" s="15"/>
      <c r="I9" s="15"/>
      <c r="J9" s="18"/>
    </row>
    <row r="10" spans="1:10" ht="26" x14ac:dyDescent="0.35">
      <c r="A10" s="3" t="s">
        <v>16</v>
      </c>
      <c r="B10" s="3" t="s">
        <v>17</v>
      </c>
      <c r="C10" s="3" t="s">
        <v>7</v>
      </c>
      <c r="D10" s="3"/>
      <c r="E10" s="3"/>
      <c r="F10" s="15"/>
      <c r="G10" s="15"/>
      <c r="H10" s="15"/>
      <c r="I10" s="15"/>
      <c r="J10" s="20"/>
    </row>
    <row r="12" spans="1:10" x14ac:dyDescent="0.35">
      <c r="A12" s="25" t="s">
        <v>18</v>
      </c>
      <c r="B12" s="26"/>
      <c r="C12" s="26"/>
      <c r="D12" s="26"/>
      <c r="E12" s="26"/>
    </row>
    <row r="13" spans="1:10" ht="30" customHeight="1" x14ac:dyDescent="0.35">
      <c r="A13" s="1" t="s">
        <v>19</v>
      </c>
      <c r="B13" s="1" t="s">
        <v>6</v>
      </c>
      <c r="C13" s="1" t="s">
        <v>20</v>
      </c>
      <c r="D13" s="1" t="s">
        <v>21</v>
      </c>
      <c r="E13" s="1" t="s">
        <v>4</v>
      </c>
    </row>
    <row r="14" spans="1:10" x14ac:dyDescent="0.35">
      <c r="A14" s="3" t="s">
        <v>22</v>
      </c>
      <c r="B14" s="8">
        <v>40.1</v>
      </c>
      <c r="C14" s="23">
        <v>31.198</v>
      </c>
      <c r="D14" s="19">
        <f>IF(OR(B14="",C14=""),"",(B14-C14)/B14)</f>
        <v>0.22199501246882794</v>
      </c>
      <c r="E14" s="3" t="s">
        <v>23</v>
      </c>
    </row>
    <row r="15" spans="1:10" x14ac:dyDescent="0.35">
      <c r="A15" s="2" t="s">
        <v>24</v>
      </c>
      <c r="B15" s="24">
        <f>'Case A1'!C20</f>
        <v>7.7262000000000004</v>
      </c>
      <c r="C15" s="24">
        <v>8.9108999999999998</v>
      </c>
      <c r="D15" s="13">
        <f>IF(OR(B15="",C15=""),"",(C15-B15)/ABS(B15))</f>
        <v>0.15333540420905481</v>
      </c>
      <c r="E15" s="2" t="s">
        <v>25</v>
      </c>
    </row>
    <row r="18" spans="1:5" x14ac:dyDescent="0.35">
      <c r="A18" s="25" t="s">
        <v>26</v>
      </c>
      <c r="B18" s="26"/>
      <c r="C18" s="26"/>
      <c r="D18" s="26"/>
      <c r="E18" s="26"/>
    </row>
    <row r="19" spans="1:5" ht="30" customHeight="1" x14ac:dyDescent="0.35">
      <c r="A19" s="1" t="s">
        <v>19</v>
      </c>
      <c r="B19" s="1" t="s">
        <v>6</v>
      </c>
      <c r="C19" s="1" t="s">
        <v>20</v>
      </c>
      <c r="D19" s="1" t="s">
        <v>21</v>
      </c>
      <c r="E19" s="1" t="s">
        <v>4</v>
      </c>
    </row>
    <row r="20" spans="1:5" x14ac:dyDescent="0.35">
      <c r="A20" s="3" t="s">
        <v>27</v>
      </c>
      <c r="B20" s="20">
        <f>'Case A1'!C18</f>
        <v>48.561</v>
      </c>
      <c r="C20" s="23">
        <v>49.847999999999999</v>
      </c>
      <c r="D20" s="19">
        <f t="shared" ref="D20:D25" si="0">IF(OR(B20="",C20=""),"",(C20-B20)/ABS(B20))</f>
        <v>2.6502749119663906E-2</v>
      </c>
      <c r="E20" s="3" t="s">
        <v>28</v>
      </c>
    </row>
    <row r="21" spans="1:5" x14ac:dyDescent="0.35">
      <c r="A21" s="2" t="s">
        <v>29</v>
      </c>
      <c r="B21" s="20">
        <f>'Case A1'!C19</f>
        <v>1.1391</v>
      </c>
      <c r="C21" s="23">
        <v>0.57908000000000004</v>
      </c>
      <c r="D21" s="13">
        <f t="shared" si="0"/>
        <v>-0.49163374593977699</v>
      </c>
      <c r="E21" s="2" t="s">
        <v>25</v>
      </c>
    </row>
    <row r="22" spans="1:5" x14ac:dyDescent="0.35">
      <c r="A22" s="3" t="s">
        <v>30</v>
      </c>
      <c r="B22" s="20">
        <f>'Case A1'!C24</f>
        <v>122.72</v>
      </c>
      <c r="C22" s="23">
        <v>287.17899999999997</v>
      </c>
      <c r="D22" s="19">
        <f t="shared" si="0"/>
        <v>1.3401157105606256</v>
      </c>
      <c r="E22" s="3" t="s">
        <v>31</v>
      </c>
    </row>
    <row r="23" spans="1:5" x14ac:dyDescent="0.35">
      <c r="A23" s="2" t="s">
        <v>32</v>
      </c>
      <c r="B23" s="20">
        <f>'Case A1'!C22</f>
        <v>16.782</v>
      </c>
      <c r="C23" s="23">
        <v>11.484999999999999</v>
      </c>
      <c r="D23" s="13">
        <f t="shared" si="0"/>
        <v>-0.31563580026218568</v>
      </c>
      <c r="E23" s="2" t="s">
        <v>25</v>
      </c>
    </row>
    <row r="24" spans="1:5" x14ac:dyDescent="0.35">
      <c r="A24" s="3" t="s">
        <v>33</v>
      </c>
      <c r="B24" s="20">
        <f>'Case A1'!C23</f>
        <v>27.353999999999999</v>
      </c>
      <c r="C24" s="23">
        <v>14.537000000000001</v>
      </c>
      <c r="D24" s="19">
        <f t="shared" si="0"/>
        <v>-0.46856035680339253</v>
      </c>
      <c r="E24" s="3" t="s">
        <v>25</v>
      </c>
    </row>
    <row r="25" spans="1:5" x14ac:dyDescent="0.35">
      <c r="A25" s="2" t="s">
        <v>24</v>
      </c>
      <c r="B25" s="20">
        <f>'Case A1'!C20</f>
        <v>7.7262000000000004</v>
      </c>
      <c r="C25" s="24">
        <v>8.9108999999999998</v>
      </c>
      <c r="D25" s="13">
        <f t="shared" si="0"/>
        <v>0.15333540420905481</v>
      </c>
      <c r="E25" s="2" t="s">
        <v>25</v>
      </c>
    </row>
  </sheetData>
  <mergeCells count="4">
    <mergeCell ref="A12:E12"/>
    <mergeCell ref="A1:E1"/>
    <mergeCell ref="A18:E18"/>
    <mergeCell ref="A3:E3"/>
  </mergeCells>
  <pageMargins left="0.25" right="0.2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3"/>
  <sheetViews>
    <sheetView showGridLines="0" workbookViewId="0">
      <pane ySplit="3" topLeftCell="A4" activePane="bottomLeft" state="frozen"/>
      <selection pane="bottomLeft" sqref="A1:E1"/>
    </sheetView>
  </sheetViews>
  <sheetFormatPr defaultRowHeight="14.5" x14ac:dyDescent="0.35"/>
  <cols>
    <col min="1" max="1" width="32" customWidth="1"/>
    <col min="2" max="3" width="18" customWidth="1"/>
    <col min="4" max="4" width="16" customWidth="1"/>
    <col min="5" max="5" width="12" customWidth="1"/>
  </cols>
  <sheetData>
    <row r="1" spans="1:5" ht="24" customHeight="1" x14ac:dyDescent="0.35">
      <c r="A1" s="27" t="s">
        <v>145</v>
      </c>
      <c r="B1" s="26"/>
      <c r="C1" s="26"/>
      <c r="D1" s="26"/>
      <c r="E1" s="26"/>
    </row>
    <row r="3" spans="1:5" x14ac:dyDescent="0.35">
      <c r="A3" s="25" t="s">
        <v>146</v>
      </c>
      <c r="B3" s="26"/>
      <c r="C3" s="26"/>
      <c r="D3" s="26"/>
      <c r="E3" s="26"/>
    </row>
    <row r="4" spans="1:5" ht="30" customHeight="1" x14ac:dyDescent="0.35">
      <c r="A4" s="1" t="s">
        <v>19</v>
      </c>
      <c r="B4" s="1" t="s">
        <v>6</v>
      </c>
      <c r="C4" s="1" t="s">
        <v>20</v>
      </c>
      <c r="D4" s="1" t="s">
        <v>21</v>
      </c>
      <c r="E4" s="1" t="s">
        <v>4</v>
      </c>
    </row>
    <row r="5" spans="1:5" ht="30" customHeight="1" x14ac:dyDescent="0.35">
      <c r="A5" s="2" t="s">
        <v>27</v>
      </c>
      <c r="B5" s="20">
        <f>'Case A1'!C18</f>
        <v>48.561</v>
      </c>
      <c r="C5" s="20">
        <f>'Case A2'!C20</f>
        <v>49.847999999999999</v>
      </c>
      <c r="D5" s="19">
        <f t="shared" ref="D5:D10" si="0">IF(OR(B5="",C5=""),"",(C5-B5)/ABS(B5))</f>
        <v>2.6502749119663906E-2</v>
      </c>
      <c r="E5" s="2" t="s">
        <v>28</v>
      </c>
    </row>
    <row r="6" spans="1:5" x14ac:dyDescent="0.35">
      <c r="A6" s="3" t="s">
        <v>29</v>
      </c>
      <c r="B6" s="20">
        <f>'Case A1'!C19</f>
        <v>1.1391</v>
      </c>
      <c r="C6" s="20">
        <f>'Case A2'!C21</f>
        <v>0.57908000000000004</v>
      </c>
      <c r="D6" s="13">
        <f t="shared" si="0"/>
        <v>-0.49163374593977699</v>
      </c>
      <c r="E6" s="3" t="s">
        <v>25</v>
      </c>
    </row>
    <row r="7" spans="1:5" x14ac:dyDescent="0.35">
      <c r="A7" s="2" t="s">
        <v>30</v>
      </c>
      <c r="B7" s="20">
        <f>'Case A1'!C24</f>
        <v>122.72</v>
      </c>
      <c r="C7" s="20">
        <f>'Case A2'!C22</f>
        <v>287.17899999999997</v>
      </c>
      <c r="D7" s="19">
        <f t="shared" si="0"/>
        <v>1.3401157105606256</v>
      </c>
      <c r="E7" s="2" t="s">
        <v>31</v>
      </c>
    </row>
    <row r="8" spans="1:5" x14ac:dyDescent="0.35">
      <c r="A8" s="3" t="s">
        <v>32</v>
      </c>
      <c r="B8" s="20">
        <f>'Case A1'!C22</f>
        <v>16.782</v>
      </c>
      <c r="C8" s="20">
        <f>'Case A2'!C23</f>
        <v>11.484999999999999</v>
      </c>
      <c r="D8" s="13">
        <f t="shared" si="0"/>
        <v>-0.31563580026218568</v>
      </c>
      <c r="E8" s="3" t="s">
        <v>25</v>
      </c>
    </row>
    <row r="9" spans="1:5" x14ac:dyDescent="0.35">
      <c r="A9" s="2" t="s">
        <v>33</v>
      </c>
      <c r="B9" s="20">
        <f>'Case A1'!C23</f>
        <v>27.353999999999999</v>
      </c>
      <c r="C9" s="20">
        <f>'Case A2'!C24</f>
        <v>14.537000000000001</v>
      </c>
      <c r="D9" s="19">
        <f t="shared" si="0"/>
        <v>-0.46856035680339253</v>
      </c>
      <c r="E9" s="2" t="s">
        <v>25</v>
      </c>
    </row>
    <row r="10" spans="1:5" x14ac:dyDescent="0.35">
      <c r="A10" s="3" t="s">
        <v>24</v>
      </c>
      <c r="B10" s="20">
        <f>'Case A1'!C20</f>
        <v>7.7262000000000004</v>
      </c>
      <c r="C10" s="20">
        <f>'Case A2'!C25</f>
        <v>8.9108999999999998</v>
      </c>
      <c r="D10" s="13">
        <f t="shared" si="0"/>
        <v>0.15333540420905481</v>
      </c>
      <c r="E10" s="3" t="s">
        <v>25</v>
      </c>
    </row>
    <row r="11" spans="1:5" x14ac:dyDescent="0.35">
      <c r="A11" s="2" t="s">
        <v>22</v>
      </c>
      <c r="B11" s="8">
        <v>40.1</v>
      </c>
      <c r="C11" s="20">
        <f>'Case A2'!C14</f>
        <v>31.198</v>
      </c>
      <c r="D11" s="19">
        <f>IF(OR(B11="",C11=""),"",(B11-C11)/B11)</f>
        <v>0.22199501246882794</v>
      </c>
      <c r="E11" s="2" t="s">
        <v>23</v>
      </c>
    </row>
    <row r="12" spans="1:5" x14ac:dyDescent="0.35">
      <c r="A12" s="3"/>
      <c r="B12" s="8"/>
      <c r="C12" s="20"/>
      <c r="D12" s="14"/>
      <c r="E12" s="3"/>
    </row>
    <row r="13" spans="1:5" x14ac:dyDescent="0.35">
      <c r="A13" s="2"/>
      <c r="B13" s="9"/>
      <c r="C13" s="18"/>
      <c r="D13" s="13"/>
      <c r="E13" s="2"/>
    </row>
  </sheetData>
  <mergeCells count="2">
    <mergeCell ref="A1:E1"/>
    <mergeCell ref="A3:E3"/>
  </mergeCells>
  <pageMargins left="0.25" right="0.25" top="0.5" bottom="0.5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1"/>
  <sheetViews>
    <sheetView showGridLines="0" tabSelected="1" workbookViewId="0">
      <pane ySplit="3" topLeftCell="A4" activePane="bottomLeft" state="frozen"/>
      <selection pane="bottomLeft" activeCell="K11" sqref="K11"/>
    </sheetView>
  </sheetViews>
  <sheetFormatPr defaultRowHeight="14.5" x14ac:dyDescent="0.35"/>
  <cols>
    <col min="1" max="1" width="32" customWidth="1"/>
    <col min="2" max="2" width="10" customWidth="1"/>
    <col min="3" max="7" width="16" customWidth="1"/>
  </cols>
  <sheetData>
    <row r="1" spans="1:7" ht="24" customHeight="1" x14ac:dyDescent="0.35">
      <c r="A1" s="27" t="s">
        <v>147</v>
      </c>
      <c r="B1" s="26"/>
      <c r="C1" s="26"/>
      <c r="D1" s="26"/>
      <c r="E1" s="26"/>
    </row>
    <row r="3" spans="1:7" ht="30" customHeight="1" x14ac:dyDescent="0.35">
      <c r="A3" s="1" t="s">
        <v>19</v>
      </c>
      <c r="B3" s="1" t="s">
        <v>4</v>
      </c>
      <c r="C3" s="1" t="s">
        <v>40</v>
      </c>
      <c r="D3" s="1" t="s">
        <v>6</v>
      </c>
      <c r="E3" s="1" t="s">
        <v>20</v>
      </c>
      <c r="F3" s="1"/>
      <c r="G3" s="1"/>
    </row>
    <row r="4" spans="1:7" x14ac:dyDescent="0.35">
      <c r="A4" s="3" t="s">
        <v>27</v>
      </c>
      <c r="B4" s="3" t="s">
        <v>28</v>
      </c>
      <c r="C4" s="3">
        <v>256.67</v>
      </c>
      <c r="D4" s="20">
        <f>'Case A1'!C18</f>
        <v>48.561</v>
      </c>
      <c r="E4" s="20">
        <f>'Case A2'!C20</f>
        <v>49.847999999999999</v>
      </c>
      <c r="F4" s="20"/>
      <c r="G4" s="20"/>
    </row>
    <row r="5" spans="1:7" x14ac:dyDescent="0.35">
      <c r="A5" s="2" t="s">
        <v>29</v>
      </c>
      <c r="B5" s="2" t="s">
        <v>25</v>
      </c>
      <c r="C5" s="2">
        <v>19.779</v>
      </c>
      <c r="D5" s="20">
        <f>'Case A1'!C19</f>
        <v>1.1391</v>
      </c>
      <c r="E5" s="20">
        <f>'Case A2'!C21</f>
        <v>0.57908000000000004</v>
      </c>
      <c r="F5" s="18"/>
      <c r="G5" s="18"/>
    </row>
    <row r="6" spans="1:7" x14ac:dyDescent="0.35">
      <c r="A6" s="3" t="s">
        <v>30</v>
      </c>
      <c r="B6" s="3" t="s">
        <v>31</v>
      </c>
      <c r="C6" s="3">
        <v>32.378399999999999</v>
      </c>
      <c r="D6" s="20">
        <f>'Case A1'!C24</f>
        <v>122.72</v>
      </c>
      <c r="E6" s="20">
        <f>'Case A2'!C22</f>
        <v>287.17899999999997</v>
      </c>
      <c r="F6" s="20"/>
      <c r="G6" s="20"/>
    </row>
    <row r="7" spans="1:7" x14ac:dyDescent="0.35">
      <c r="A7" s="2" t="s">
        <v>32</v>
      </c>
      <c r="B7" s="2" t="s">
        <v>25</v>
      </c>
      <c r="C7" s="2">
        <v>48.006999999999998</v>
      </c>
      <c r="D7" s="20">
        <f>'Case A1'!C22</f>
        <v>16.782</v>
      </c>
      <c r="E7" s="20">
        <f>'Case A2'!C23</f>
        <v>11.484999999999999</v>
      </c>
      <c r="F7" s="18"/>
      <c r="G7" s="18"/>
    </row>
    <row r="8" spans="1:7" x14ac:dyDescent="0.35">
      <c r="A8" s="3" t="s">
        <v>33</v>
      </c>
      <c r="B8" s="3" t="s">
        <v>25</v>
      </c>
      <c r="C8" s="3">
        <v>57.06</v>
      </c>
      <c r="D8" s="20">
        <f>'Case A1'!C23</f>
        <v>27.353999999999999</v>
      </c>
      <c r="E8" s="20">
        <f>'Case A2'!C24</f>
        <v>14.537000000000001</v>
      </c>
      <c r="F8" s="8"/>
      <c r="G8" s="20"/>
    </row>
    <row r="9" spans="1:7" x14ac:dyDescent="0.35">
      <c r="A9" s="2" t="s">
        <v>24</v>
      </c>
      <c r="B9" s="2" t="s">
        <v>25</v>
      </c>
      <c r="C9" s="22">
        <v>8.9373000000000005</v>
      </c>
      <c r="D9" s="20">
        <f>'Case A1'!C20</f>
        <v>7.7262000000000004</v>
      </c>
      <c r="E9" s="20">
        <f>'Case A2'!C25</f>
        <v>8.9108999999999998</v>
      </c>
      <c r="F9" s="9"/>
      <c r="G9" s="18"/>
    </row>
    <row r="10" spans="1:7" x14ac:dyDescent="0.35">
      <c r="A10" s="3" t="s">
        <v>22</v>
      </c>
      <c r="B10" s="3" t="s">
        <v>23</v>
      </c>
      <c r="C10" s="3">
        <v>40.1</v>
      </c>
      <c r="D10" s="10">
        <v>40.1</v>
      </c>
      <c r="E10" s="20">
        <f>'Case A2'!C14</f>
        <v>31.198</v>
      </c>
      <c r="F10" s="20"/>
      <c r="G10" s="20"/>
    </row>
    <row r="11" spans="1:7" x14ac:dyDescent="0.35">
      <c r="A11" s="2"/>
      <c r="B11" s="2"/>
      <c r="C11" s="9"/>
      <c r="D11" s="9"/>
      <c r="E11" s="9"/>
      <c r="F11" s="18"/>
      <c r="G11" s="18"/>
    </row>
  </sheetData>
  <mergeCells count="1">
    <mergeCell ref="A1:E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Overview</vt:lpstr>
      <vt:lpstr>Load Study</vt:lpstr>
      <vt:lpstr>Mesh Convergence</vt:lpstr>
      <vt:lpstr>Baseline</vt:lpstr>
      <vt:lpstr>Case A1</vt:lpstr>
      <vt:lpstr>Case A2</vt:lpstr>
      <vt:lpstr>Final Validation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LUO</cp:lastModifiedBy>
  <dcterms:created xsi:type="dcterms:W3CDTF">2026-09-16T07:09:35Z</dcterms:created>
  <dcterms:modified xsi:type="dcterms:W3CDTF">2026-09-19T11:59:37Z</dcterms:modified>
</cp:coreProperties>
</file>